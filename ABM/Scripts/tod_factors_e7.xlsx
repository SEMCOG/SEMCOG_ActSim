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lients\SEMCOG\Tasks\Task11_IE_DestinationChoice\Inputs\"/>
    </mc:Choice>
  </mc:AlternateContent>
  <bookViews>
    <workbookView xWindow="0" yWindow="0" windowWidth="25200" windowHeight="11880" activeTab="3"/>
  </bookViews>
  <sheets>
    <sheet name="readme" sheetId="2" r:id="rId1"/>
    <sheet name="Calculation" sheetId="1" r:id="rId2"/>
    <sheet name="NewFactors" sheetId="3" r:id="rId3"/>
    <sheet name="AirOccSplit" sheetId="4"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3" l="1"/>
  <c r="F3" i="3"/>
  <c r="F4" i="3"/>
  <c r="F5" i="3"/>
  <c r="F6" i="3"/>
  <c r="E3" i="3"/>
  <c r="E4" i="3"/>
  <c r="E5" i="3"/>
  <c r="E6" i="3"/>
  <c r="E2" i="3"/>
  <c r="C2" i="3"/>
  <c r="D2" i="3"/>
  <c r="C3" i="3"/>
  <c r="D3" i="3"/>
  <c r="C4" i="3"/>
  <c r="D4" i="3"/>
  <c r="C5" i="3"/>
  <c r="D5" i="3"/>
  <c r="C6" i="3"/>
  <c r="D6" i="3"/>
  <c r="B3" i="3"/>
  <c r="B4" i="3"/>
  <c r="B5" i="3"/>
  <c r="B6" i="3"/>
  <c r="B2" i="3"/>
  <c r="F1" i="3"/>
  <c r="E1" i="3"/>
  <c r="C1" i="3"/>
  <c r="D1" i="3"/>
  <c r="B1" i="3"/>
  <c r="U8" i="1"/>
  <c r="U9" i="1"/>
  <c r="U10" i="1"/>
  <c r="T10" i="1"/>
  <c r="T9" i="1"/>
  <c r="T8" i="1"/>
  <c r="T11" i="1"/>
  <c r="U11" i="1"/>
  <c r="T12" i="1"/>
  <c r="U12" i="1"/>
  <c r="P9" i="1"/>
  <c r="Q9" i="1"/>
  <c r="R9" i="1"/>
  <c r="P10" i="1"/>
  <c r="Q10" i="1"/>
  <c r="R10" i="1"/>
  <c r="Q8" i="1"/>
  <c r="R8" i="1"/>
  <c r="P8" i="1"/>
  <c r="Q11" i="1"/>
  <c r="R11" i="1"/>
  <c r="Q12" i="1"/>
  <c r="R12" i="1"/>
  <c r="P12" i="1"/>
  <c r="P11" i="1" s="1"/>
</calcChain>
</file>

<file path=xl/sharedStrings.xml><?xml version="1.0" encoding="utf-8"?>
<sst xmlns="http://schemas.openxmlformats.org/spreadsheetml/2006/main" count="49" uniqueCount="33">
  <si>
    <t>AM</t>
  </si>
  <si>
    <t>MD</t>
  </si>
  <si>
    <t>PM</t>
  </si>
  <si>
    <t>EV</t>
  </si>
  <si>
    <t>NT</t>
  </si>
  <si>
    <t>RET_AIR</t>
  </si>
  <si>
    <t>DEP_AIR</t>
  </si>
  <si>
    <t>EE</t>
  </si>
  <si>
    <t>DEP_HBW</t>
  </si>
  <si>
    <t>RET_HBW</t>
  </si>
  <si>
    <t>DEP_HBO</t>
  </si>
  <si>
    <t>RET_HBO</t>
  </si>
  <si>
    <t>DEP_HBSH</t>
  </si>
  <si>
    <t>RET_HBSH</t>
  </si>
  <si>
    <t>DEP_HBSC</t>
  </si>
  <si>
    <t>RET_HBSC</t>
  </si>
  <si>
    <t>DEP_HBU</t>
  </si>
  <si>
    <t>RET_HBU</t>
  </si>
  <si>
    <t>DEP_NHBW</t>
  </si>
  <si>
    <t>RET_NHBW</t>
  </si>
  <si>
    <t>DEP_NHBO</t>
  </si>
  <si>
    <t>RET_NHBO</t>
  </si>
  <si>
    <t>PER</t>
  </si>
  <si>
    <t>PER_DUR</t>
  </si>
  <si>
    <t>EA</t>
  </si>
  <si>
    <t>ASIM_DUR</t>
  </si>
  <si>
    <t>Steps to reallocate Truck and Airport Trips by TOD
Time of Day definitions are different between E7 and ActivitySim. RSG is currently
using the existing time of day factors and modifying them based on their duration 
to apply to the Grav_Combined matrix and create trip tables for ActivitySim time periods. Adjustments were applied only to EV and NT periods as the other periods 
line up reasonably closely between E7 and ActivitySim.
Step 1: Divide NT period truck and airport factors by duration of NT (8.5 hours).
Step 2: Multiply step 1 result by the ActivitySim EA duration (3)
Step 3: Subtract step 2 result from the sum of EV+NT in E7 and assign it to ActivitySim EV.</t>
  </si>
  <si>
    <t>Light Truck</t>
  </si>
  <si>
    <t>Heavy Truck</t>
  </si>
  <si>
    <t>Medium Truck</t>
  </si>
  <si>
    <t>AIR_SOV</t>
  </si>
  <si>
    <t>AIR_HOV2</t>
  </si>
  <si>
    <t>AIR_HOV3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</si>
</sst>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0.0000"/>
    <numFmt numFmtId="168" formatCode="0.00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166" fontId="0" fillId="2" borderId="0" xfId="0" applyNumberFormat="1" applyFill="1"/>
    <xf numFmtId="0" fontId="0" fillId="0" borderId="0" xfId="0" applyFill="1"/>
    <xf numFmtId="0" fontId="0" fillId="0" borderId="0" xfId="0" applyAlignment="1">
      <alignment horizontal="left" vertical="top"/>
    </xf>
    <xf numFmtId="0" fontId="0" fillId="0" borderId="0" xfId="0" applyAlignment="1">
      <alignment horizontal="left" vertical="top" wrapText="1"/>
    </xf>
    <xf numFmtId="166" fontId="0" fillId="0" borderId="0" xfId="0" applyNumberFormat="1" applyFill="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selection activeCell="A21" sqref="A21"/>
    </sheetView>
  </sheetViews>
  <sheetFormatPr defaultRowHeight="15" x14ac:dyDescent="0.25"/>
  <cols>
    <col min="1" max="1" width="77.42578125" customWidth="1"/>
  </cols>
  <sheetData>
    <row r="1" spans="1:1" x14ac:dyDescent="0.25">
      <c r="A1" s="5" t="s">
        <v>26</v>
      </c>
    </row>
    <row r="2" spans="1:1" x14ac:dyDescent="0.25">
      <c r="A2" s="4"/>
    </row>
    <row r="3" spans="1:1" x14ac:dyDescent="0.25">
      <c r="A3" s="4"/>
    </row>
    <row r="4" spans="1:1" x14ac:dyDescent="0.25">
      <c r="A4" s="4"/>
    </row>
    <row r="5" spans="1:1" x14ac:dyDescent="0.25">
      <c r="A5" s="4"/>
    </row>
    <row r="6" spans="1:1" x14ac:dyDescent="0.25">
      <c r="A6" s="4"/>
    </row>
    <row r="7" spans="1:1" x14ac:dyDescent="0.25">
      <c r="A7" s="4"/>
    </row>
    <row r="8" spans="1:1" x14ac:dyDescent="0.25">
      <c r="A8" s="4"/>
    </row>
    <row r="9" spans="1:1" x14ac:dyDescent="0.25">
      <c r="A9" s="4"/>
    </row>
    <row r="10" spans="1:1" x14ac:dyDescent="0.25">
      <c r="A10" s="4"/>
    </row>
    <row r="11" spans="1:1" x14ac:dyDescent="0.25">
      <c r="A11" s="4"/>
    </row>
    <row r="12" spans="1:1" x14ac:dyDescent="0.25">
      <c r="A12" s="4"/>
    </row>
    <row r="13" spans="1:1" x14ac:dyDescent="0.25">
      <c r="A13" s="4"/>
    </row>
    <row r="14" spans="1:1" x14ac:dyDescent="0.25">
      <c r="A14" s="4"/>
    </row>
    <row r="15" spans="1:1" x14ac:dyDescent="0.25">
      <c r="A15" s="4"/>
    </row>
    <row r="16" spans="1:1" x14ac:dyDescent="0.25">
      <c r="A16" s="4"/>
    </row>
    <row r="17" spans="1:1" x14ac:dyDescent="0.25">
      <c r="A17" s="4"/>
    </row>
    <row r="18" spans="1:1" x14ac:dyDescent="0.25">
      <c r="A18" s="4"/>
    </row>
    <row r="19" spans="1:1" x14ac:dyDescent="0.25">
      <c r="A19" s="4"/>
    </row>
    <row r="20" spans="1:1" x14ac:dyDescent="0.25">
      <c r="A20" s="4"/>
    </row>
  </sheetData>
  <mergeCells count="1">
    <mergeCell ref="A1: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workbookViewId="0">
      <selection activeCell="R2" sqref="R2"/>
    </sheetView>
  </sheetViews>
  <sheetFormatPr defaultRowHeight="15" x14ac:dyDescent="0.25"/>
  <cols>
    <col min="1" max="1" width="8.42578125" customWidth="1"/>
    <col min="2" max="2" width="9.85546875" bestFit="1" customWidth="1"/>
    <col min="3" max="3" width="9.5703125" bestFit="1" customWidth="1"/>
    <col min="4" max="4" width="9.42578125" bestFit="1" customWidth="1"/>
    <col min="5" max="5" width="9.140625" bestFit="1" customWidth="1"/>
    <col min="6" max="6" width="10.28515625" bestFit="1" customWidth="1"/>
    <col min="7" max="7" width="10" bestFit="1" customWidth="1"/>
    <col min="8" max="8" width="10.140625" bestFit="1" customWidth="1"/>
    <col min="9" max="9" width="9.85546875" bestFit="1" customWidth="1"/>
    <col min="10" max="10" width="9.28515625" bestFit="1" customWidth="1"/>
    <col min="11" max="11" width="9" bestFit="1" customWidth="1"/>
    <col min="12" max="12" width="11.28515625" bestFit="1" customWidth="1"/>
    <col min="13" max="13" width="11" bestFit="1" customWidth="1"/>
    <col min="14" max="14" width="10.85546875" bestFit="1" customWidth="1"/>
    <col min="15" max="15" width="10.5703125" bestFit="1" customWidth="1"/>
    <col min="16" max="21" width="8.5703125" bestFit="1" customWidth="1"/>
  </cols>
  <sheetData>
    <row r="1" spans="1:23" x14ac:dyDescent="0.25">
      <c r="A1" t="s">
        <v>22</v>
      </c>
      <c r="B1" t="s">
        <v>8</v>
      </c>
      <c r="C1" t="s">
        <v>9</v>
      </c>
      <c r="D1" t="s">
        <v>10</v>
      </c>
      <c r="E1" t="s">
        <v>11</v>
      </c>
      <c r="F1" t="s">
        <v>12</v>
      </c>
      <c r="G1" t="s">
        <v>13</v>
      </c>
      <c r="H1" t="s">
        <v>14</v>
      </c>
      <c r="I1" t="s">
        <v>15</v>
      </c>
      <c r="J1" t="s">
        <v>16</v>
      </c>
      <c r="K1" t="s">
        <v>17</v>
      </c>
      <c r="L1" t="s">
        <v>18</v>
      </c>
      <c r="M1" t="s">
        <v>19</v>
      </c>
      <c r="N1" t="s">
        <v>20</v>
      </c>
      <c r="O1" t="s">
        <v>21</v>
      </c>
      <c r="P1" t="s">
        <v>27</v>
      </c>
      <c r="Q1" t="s">
        <v>29</v>
      </c>
      <c r="R1" t="s">
        <v>28</v>
      </c>
      <c r="S1" t="s">
        <v>7</v>
      </c>
      <c r="T1" t="s">
        <v>6</v>
      </c>
      <c r="U1" t="s">
        <v>5</v>
      </c>
      <c r="V1" t="s">
        <v>23</v>
      </c>
      <c r="W1" t="s">
        <v>25</v>
      </c>
    </row>
    <row r="2" spans="1:23" x14ac:dyDescent="0.25">
      <c r="A2" t="s">
        <v>0</v>
      </c>
      <c r="B2">
        <v>0.44140000000000001</v>
      </c>
      <c r="C2">
        <v>1.7999999999999999E-2</v>
      </c>
      <c r="D2">
        <v>0.23580000000000001</v>
      </c>
      <c r="E2">
        <v>5.3900000000000003E-2</v>
      </c>
      <c r="F2">
        <v>5.0799999999999998E-2</v>
      </c>
      <c r="G2">
        <v>1.8700000000000001E-2</v>
      </c>
      <c r="H2">
        <v>0.61660000000000004</v>
      </c>
      <c r="I2">
        <v>2.9999999999999997E-4</v>
      </c>
      <c r="J2">
        <v>0.43290000000000001</v>
      </c>
      <c r="K2">
        <v>1.9099999999999999E-2</v>
      </c>
      <c r="L2">
        <v>9.4600000000000004E-2</v>
      </c>
      <c r="M2">
        <v>0.19059999999999999</v>
      </c>
      <c r="N2">
        <v>8.09E-2</v>
      </c>
      <c r="O2">
        <v>8.09E-2</v>
      </c>
      <c r="P2">
        <v>0.105</v>
      </c>
      <c r="Q2">
        <v>0.13</v>
      </c>
      <c r="R2">
        <v>0.128</v>
      </c>
      <c r="S2">
        <v>0.11600000000000001</v>
      </c>
      <c r="T2">
        <v>7.0000000000000007E-2</v>
      </c>
      <c r="U2">
        <v>0.02</v>
      </c>
      <c r="V2">
        <v>2.5</v>
      </c>
      <c r="W2">
        <v>3</v>
      </c>
    </row>
    <row r="3" spans="1:23" x14ac:dyDescent="0.25">
      <c r="A3" t="s">
        <v>1</v>
      </c>
      <c r="B3">
        <v>0.27679999999999999</v>
      </c>
      <c r="C3">
        <v>0.1196</v>
      </c>
      <c r="D3">
        <v>0.2455</v>
      </c>
      <c r="E3">
        <v>0.16969999999999999</v>
      </c>
      <c r="F3">
        <v>0.2344</v>
      </c>
      <c r="G3">
        <v>0.25869999999999999</v>
      </c>
      <c r="H3">
        <v>6.0600000000000001E-2</v>
      </c>
      <c r="I3">
        <v>0.88200000000000001</v>
      </c>
      <c r="J3">
        <v>0.30869999999999997</v>
      </c>
      <c r="K3">
        <v>0.20399999999999999</v>
      </c>
      <c r="L3">
        <v>0.41</v>
      </c>
      <c r="M3">
        <v>0.20610000000000001</v>
      </c>
      <c r="N3">
        <v>0.26939999999999997</v>
      </c>
      <c r="O3">
        <v>0.26939999999999997</v>
      </c>
      <c r="P3">
        <v>0.66</v>
      </c>
      <c r="Q3">
        <v>0.65200000000000002</v>
      </c>
      <c r="R3">
        <v>0.60599999999999998</v>
      </c>
      <c r="S3">
        <v>0.251</v>
      </c>
      <c r="T3">
        <v>0.1578</v>
      </c>
      <c r="U3">
        <v>0.1022</v>
      </c>
      <c r="V3">
        <v>5.5</v>
      </c>
      <c r="W3">
        <v>6</v>
      </c>
    </row>
    <row r="4" spans="1:23" x14ac:dyDescent="0.25">
      <c r="A4" t="s">
        <v>2</v>
      </c>
      <c r="B4">
        <v>7.4800000000000005E-2</v>
      </c>
      <c r="C4">
        <v>0.46579999999999999</v>
      </c>
      <c r="D4">
        <v>0.31069999999999998</v>
      </c>
      <c r="E4">
        <v>0.39960000000000001</v>
      </c>
      <c r="F4">
        <v>0.27910000000000001</v>
      </c>
      <c r="G4">
        <v>0.65139999999999998</v>
      </c>
      <c r="H4">
        <v>2.3999999999999998E-3</v>
      </c>
      <c r="I4">
        <v>0.38069999999999998</v>
      </c>
      <c r="J4">
        <v>0.16089999999999999</v>
      </c>
      <c r="K4">
        <v>0.3871</v>
      </c>
      <c r="L4">
        <v>0.63170000000000004</v>
      </c>
      <c r="M4">
        <v>8.3099999999999993E-2</v>
      </c>
      <c r="N4">
        <v>0.41909999999999997</v>
      </c>
      <c r="O4">
        <v>0.41909999999999997</v>
      </c>
      <c r="P4">
        <v>0.158</v>
      </c>
      <c r="Q4">
        <v>0.14799999999999999</v>
      </c>
      <c r="R4">
        <v>0.14799999999999999</v>
      </c>
      <c r="S4">
        <v>0.26100000000000001</v>
      </c>
      <c r="T4">
        <v>9.8199999999999996E-2</v>
      </c>
      <c r="U4">
        <v>0.1018</v>
      </c>
      <c r="V4">
        <v>4</v>
      </c>
      <c r="W4">
        <v>4</v>
      </c>
    </row>
    <row r="5" spans="1:23" x14ac:dyDescent="0.25">
      <c r="A5" t="s">
        <v>3</v>
      </c>
      <c r="B5">
        <v>4.3999999999999997E-2</v>
      </c>
      <c r="C5">
        <v>0.1404</v>
      </c>
      <c r="D5">
        <v>0.14910000000000001</v>
      </c>
      <c r="E5">
        <v>0.23449999999999999</v>
      </c>
      <c r="F5">
        <v>0.1487</v>
      </c>
      <c r="G5">
        <v>0.2392</v>
      </c>
      <c r="H5">
        <v>1.6000000000000001E-3</v>
      </c>
      <c r="I5">
        <v>4.3499999999999997E-2</v>
      </c>
      <c r="J5">
        <v>0.16300000000000001</v>
      </c>
      <c r="K5">
        <v>0.2127</v>
      </c>
      <c r="L5">
        <v>0.1867</v>
      </c>
      <c r="M5">
        <v>7.5499999999999998E-2</v>
      </c>
      <c r="N5">
        <v>0.1729</v>
      </c>
      <c r="O5">
        <v>0.1729</v>
      </c>
      <c r="P5">
        <v>3.9E-2</v>
      </c>
      <c r="Q5">
        <v>3.5000000000000003E-2</v>
      </c>
      <c r="R5">
        <v>5.8999999999999997E-2</v>
      </c>
      <c r="S5">
        <v>0.186</v>
      </c>
      <c r="T5">
        <v>8.1000000000000003E-2</v>
      </c>
      <c r="U5">
        <v>0.14399999999999999</v>
      </c>
      <c r="V5">
        <v>3.5</v>
      </c>
      <c r="W5">
        <v>8</v>
      </c>
    </row>
    <row r="6" spans="1:23" x14ac:dyDescent="0.25">
      <c r="A6" t="s">
        <v>4</v>
      </c>
      <c r="B6">
        <v>0.26379999999999998</v>
      </c>
      <c r="C6">
        <v>0.15540000000000001</v>
      </c>
      <c r="D6">
        <v>6.3799999999999996E-2</v>
      </c>
      <c r="E6">
        <v>0.13739999999999999</v>
      </c>
      <c r="F6">
        <v>4.1399999999999999E-2</v>
      </c>
      <c r="G6">
        <v>7.7600000000000002E-2</v>
      </c>
      <c r="H6">
        <v>9.2999999999999992E-3</v>
      </c>
      <c r="I6">
        <v>3.0000000000000001E-3</v>
      </c>
      <c r="J6">
        <v>6.7999999999999996E-3</v>
      </c>
      <c r="K6">
        <v>0.1048</v>
      </c>
      <c r="L6">
        <v>8.1100000000000005E-2</v>
      </c>
      <c r="M6">
        <v>4.0599999999999997E-2</v>
      </c>
      <c r="N6">
        <v>5.7700000000000001E-2</v>
      </c>
      <c r="O6">
        <v>5.7700000000000001E-2</v>
      </c>
      <c r="P6">
        <v>3.7999999999999999E-2</v>
      </c>
      <c r="Q6">
        <v>3.5000000000000003E-2</v>
      </c>
      <c r="R6">
        <v>5.8999999999999997E-2</v>
      </c>
      <c r="S6">
        <v>0.186</v>
      </c>
      <c r="T6">
        <v>7.4899999999999994E-2</v>
      </c>
      <c r="U6">
        <v>0.15010000000000001</v>
      </c>
      <c r="V6">
        <v>8.5</v>
      </c>
      <c r="W6">
        <v>3</v>
      </c>
    </row>
    <row r="8" spans="1:23" s="3" customFormat="1" x14ac:dyDescent="0.25">
      <c r="A8" s="1" t="s">
        <v>0</v>
      </c>
      <c r="B8" s="6"/>
      <c r="C8" s="6"/>
      <c r="D8" s="6"/>
      <c r="E8" s="6"/>
      <c r="F8" s="6"/>
      <c r="G8" s="6"/>
      <c r="H8" s="6"/>
      <c r="I8" s="6"/>
      <c r="J8" s="6"/>
      <c r="K8" s="6"/>
      <c r="L8" s="6"/>
      <c r="M8" s="6"/>
      <c r="N8" s="6"/>
      <c r="O8" s="6"/>
      <c r="P8" s="2">
        <f>P2</f>
        <v>0.105</v>
      </c>
      <c r="Q8" s="2">
        <f t="shared" ref="Q8:R8" si="0">Q2</f>
        <v>0.13</v>
      </c>
      <c r="R8" s="2">
        <f t="shared" si="0"/>
        <v>0.128</v>
      </c>
      <c r="S8" s="6"/>
      <c r="T8" s="2">
        <f>T2</f>
        <v>7.0000000000000007E-2</v>
      </c>
      <c r="U8" s="2">
        <f>U2</f>
        <v>0.02</v>
      </c>
    </row>
    <row r="9" spans="1:23" s="3" customFormat="1" x14ac:dyDescent="0.25">
      <c r="A9" s="1" t="s">
        <v>1</v>
      </c>
      <c r="B9" s="6"/>
      <c r="C9" s="6"/>
      <c r="D9" s="6"/>
      <c r="E9" s="6"/>
      <c r="F9" s="6"/>
      <c r="G9" s="6"/>
      <c r="H9" s="6"/>
      <c r="I9" s="6"/>
      <c r="J9" s="6"/>
      <c r="K9" s="6"/>
      <c r="L9" s="6"/>
      <c r="M9" s="6"/>
      <c r="N9" s="6"/>
      <c r="O9" s="6"/>
      <c r="P9" s="2">
        <f t="shared" ref="P9:R9" si="1">P3</f>
        <v>0.66</v>
      </c>
      <c r="Q9" s="2">
        <f t="shared" si="1"/>
        <v>0.65200000000000002</v>
      </c>
      <c r="R9" s="2">
        <f t="shared" si="1"/>
        <v>0.60599999999999998</v>
      </c>
      <c r="S9" s="6"/>
      <c r="T9" s="2">
        <f t="shared" ref="T9:U9" si="2">T3</f>
        <v>0.1578</v>
      </c>
      <c r="U9" s="2">
        <f t="shared" si="2"/>
        <v>0.1022</v>
      </c>
    </row>
    <row r="10" spans="1:23" x14ac:dyDescent="0.25">
      <c r="A10" s="1" t="s">
        <v>2</v>
      </c>
      <c r="B10" s="6"/>
      <c r="C10" s="6"/>
      <c r="D10" s="6"/>
      <c r="E10" s="6"/>
      <c r="F10" s="6"/>
      <c r="G10" s="6"/>
      <c r="H10" s="6"/>
      <c r="I10" s="6"/>
      <c r="J10" s="6"/>
      <c r="K10" s="6"/>
      <c r="L10" s="6"/>
      <c r="M10" s="6"/>
      <c r="N10" s="6"/>
      <c r="O10" s="6"/>
      <c r="P10" s="2">
        <f t="shared" ref="P10:R10" si="3">P4</f>
        <v>0.158</v>
      </c>
      <c r="Q10" s="2">
        <f t="shared" si="3"/>
        <v>0.14799999999999999</v>
      </c>
      <c r="R10" s="2">
        <f t="shared" si="3"/>
        <v>0.14799999999999999</v>
      </c>
      <c r="S10" s="6"/>
      <c r="T10" s="2">
        <f t="shared" ref="T10:U10" si="4">T4</f>
        <v>9.8199999999999996E-2</v>
      </c>
      <c r="U10" s="2">
        <f t="shared" si="4"/>
        <v>0.1018</v>
      </c>
    </row>
    <row r="11" spans="1:23" x14ac:dyDescent="0.25">
      <c r="A11" s="1" t="s">
        <v>3</v>
      </c>
      <c r="B11" s="6"/>
      <c r="C11" s="6"/>
      <c r="D11" s="6"/>
      <c r="E11" s="6"/>
      <c r="F11" s="6"/>
      <c r="G11" s="6"/>
      <c r="H11" s="6"/>
      <c r="I11" s="6"/>
      <c r="J11" s="6"/>
      <c r="K11" s="6"/>
      <c r="L11" s="6"/>
      <c r="M11" s="6"/>
      <c r="N11" s="6"/>
      <c r="O11" s="6"/>
      <c r="P11" s="2">
        <f>SUM(P$5:P$6)-P12</f>
        <v>6.358823529411764E-2</v>
      </c>
      <c r="Q11" s="2">
        <f t="shared" ref="Q11:R11" si="5">SUM(Q$5:Q$6)-Q12</f>
        <v>5.7647058823529419E-2</v>
      </c>
      <c r="R11" s="2">
        <f t="shared" si="5"/>
        <v>9.7176470588235281E-2</v>
      </c>
      <c r="S11" s="6"/>
      <c r="T11" s="2">
        <f t="shared" ref="T11" si="6">SUM(T$5:T$6)-T12</f>
        <v>0.12946470588235293</v>
      </c>
      <c r="U11" s="2">
        <f t="shared" ref="U11" si="7">SUM(U$5:U$6)-U12</f>
        <v>0.24112352941176474</v>
      </c>
    </row>
    <row r="12" spans="1:23" x14ac:dyDescent="0.25">
      <c r="A12" s="1" t="s">
        <v>24</v>
      </c>
      <c r="B12" s="6"/>
      <c r="C12" s="6"/>
      <c r="D12" s="6"/>
      <c r="E12" s="6"/>
      <c r="F12" s="6"/>
      <c r="G12" s="6"/>
      <c r="H12" s="6"/>
      <c r="I12" s="6"/>
      <c r="J12" s="6"/>
      <c r="K12" s="6"/>
      <c r="L12" s="6"/>
      <c r="M12" s="6"/>
      <c r="N12" s="6"/>
      <c r="O12" s="6"/>
      <c r="P12" s="2">
        <f>P6*$W6/$V6</f>
        <v>1.3411764705882352E-2</v>
      </c>
      <c r="Q12" s="2">
        <f t="shared" ref="Q12:U12" si="8">Q6*$W6/$V6</f>
        <v>1.2352941176470589E-2</v>
      </c>
      <c r="R12" s="2">
        <f t="shared" si="8"/>
        <v>2.0823529411764706E-2</v>
      </c>
      <c r="S12" s="6"/>
      <c r="T12" s="2">
        <f t="shared" si="8"/>
        <v>2.6435294117647057E-2</v>
      </c>
      <c r="U12" s="2">
        <f t="shared" si="8"/>
        <v>5.2976470588235298E-2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C10" sqref="C10"/>
    </sheetView>
  </sheetViews>
  <sheetFormatPr defaultRowHeight="15" x14ac:dyDescent="0.25"/>
  <cols>
    <col min="1" max="1" width="4.28515625" customWidth="1"/>
    <col min="2" max="2" width="10.42578125" bestFit="1" customWidth="1"/>
    <col min="3" max="3" width="13.7109375" bestFit="1" customWidth="1"/>
    <col min="4" max="4" width="11.5703125" bestFit="1" customWidth="1"/>
    <col min="5" max="5" width="8.42578125" bestFit="1" customWidth="1"/>
    <col min="6" max="6" width="8.140625" bestFit="1" customWidth="1"/>
  </cols>
  <sheetData>
    <row r="1" spans="1:6" x14ac:dyDescent="0.25">
      <c r="A1" t="s">
        <v>22</v>
      </c>
      <c r="B1" t="str">
        <f>Calculation!P1</f>
        <v>Light Truck</v>
      </c>
      <c r="C1" t="str">
        <f>Calculation!Q1</f>
        <v>Medium Truck</v>
      </c>
      <c r="D1" t="str">
        <f>Calculation!R1</f>
        <v>Heavy Truck</v>
      </c>
      <c r="E1" t="str">
        <f>Calculation!T1</f>
        <v>DEP_AIR</v>
      </c>
      <c r="F1" t="str">
        <f>Calculation!U1</f>
        <v>RET_AIR</v>
      </c>
    </row>
    <row r="2" spans="1:6" x14ac:dyDescent="0.25">
      <c r="A2" t="s">
        <v>0</v>
      </c>
      <c r="B2" s="7">
        <f>Calculation!P8</f>
        <v>0.105</v>
      </c>
      <c r="C2" s="7">
        <f>Calculation!Q8</f>
        <v>0.13</v>
      </c>
      <c r="D2" s="7">
        <f>Calculation!R8</f>
        <v>0.128</v>
      </c>
      <c r="E2" s="7">
        <f>Calculation!T8</f>
        <v>7.0000000000000007E-2</v>
      </c>
      <c r="F2" s="7">
        <f>Calculation!U8</f>
        <v>0.02</v>
      </c>
    </row>
    <row r="3" spans="1:6" x14ac:dyDescent="0.25">
      <c r="A3" t="s">
        <v>1</v>
      </c>
      <c r="B3" s="7">
        <f>Calculation!P9</f>
        <v>0.66</v>
      </c>
      <c r="C3" s="7">
        <f>Calculation!Q9</f>
        <v>0.65200000000000002</v>
      </c>
      <c r="D3" s="7">
        <f>Calculation!R9</f>
        <v>0.60599999999999998</v>
      </c>
      <c r="E3" s="7">
        <f>Calculation!T9</f>
        <v>0.1578</v>
      </c>
      <c r="F3" s="7">
        <f>Calculation!U9</f>
        <v>0.1022</v>
      </c>
    </row>
    <row r="4" spans="1:6" x14ac:dyDescent="0.25">
      <c r="A4" t="s">
        <v>2</v>
      </c>
      <c r="B4" s="7">
        <f>Calculation!P10</f>
        <v>0.158</v>
      </c>
      <c r="C4" s="7">
        <f>Calculation!Q10</f>
        <v>0.14799999999999999</v>
      </c>
      <c r="D4" s="7">
        <f>Calculation!R10</f>
        <v>0.14799999999999999</v>
      </c>
      <c r="E4" s="7">
        <f>Calculation!T10</f>
        <v>9.8199999999999996E-2</v>
      </c>
      <c r="F4" s="7">
        <f>Calculation!U10</f>
        <v>0.1018</v>
      </c>
    </row>
    <row r="5" spans="1:6" x14ac:dyDescent="0.25">
      <c r="A5" t="s">
        <v>3</v>
      </c>
      <c r="B5" s="7">
        <f>Calculation!P11</f>
        <v>6.358823529411764E-2</v>
      </c>
      <c r="C5" s="7">
        <f>Calculation!Q11</f>
        <v>5.7647058823529419E-2</v>
      </c>
      <c r="D5" s="7">
        <f>Calculation!R11</f>
        <v>9.7176470588235281E-2</v>
      </c>
      <c r="E5" s="7">
        <f>Calculation!T11</f>
        <v>0.12946470588235293</v>
      </c>
      <c r="F5" s="7">
        <f>Calculation!U11</f>
        <v>0.24112352941176474</v>
      </c>
    </row>
    <row r="6" spans="1:6" x14ac:dyDescent="0.25">
      <c r="A6" t="s">
        <v>24</v>
      </c>
      <c r="B6" s="7">
        <f>Calculation!P12</f>
        <v>1.3411764705882352E-2</v>
      </c>
      <c r="C6" s="7">
        <f>Calculation!Q12</f>
        <v>1.2352941176470589E-2</v>
      </c>
      <c r="D6" s="7">
        <f>Calculation!R12</f>
        <v>2.0823529411764706E-2</v>
      </c>
      <c r="E6" s="7">
        <f>Calculation!T12</f>
        <v>2.6435294117647057E-2</v>
      </c>
      <c r="F6" s="7">
        <f>Calculation!U12</f>
        <v>5.2976470588235298E-2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tabSelected="1" workbookViewId="0">
      <selection activeCell="B13" sqref="B13"/>
    </sheetView>
  </sheetViews>
  <sheetFormatPr defaultRowHeight="15" x14ac:dyDescent="0.25"/>
  <cols>
    <col min="3" max="3" width="10" bestFit="1" customWidth="1"/>
  </cols>
  <sheetData>
    <row r="1" spans="1:4" x14ac:dyDescent="0.25">
      <c r="A1" t="s">
        <v>22</v>
      </c>
      <c r="B1" t="s">
        <v>30</v>
      </c>
      <c r="C1" t="s">
        <v>31</v>
      </c>
      <c r="D1" t="s">
        <v>32</v>
      </c>
    </row>
    <row r="2" spans="1:4" x14ac:dyDescent="0.25">
      <c r="A2" t="s">
        <v>0</v>
      </c>
      <c r="B2">
        <v>0.49299999999999999</v>
      </c>
      <c r="C2">
        <v>0.32900000000000001</v>
      </c>
      <c r="D2">
        <v>0.17799999999999999</v>
      </c>
    </row>
    <row r="3" spans="1:4" x14ac:dyDescent="0.25">
      <c r="A3" t="s">
        <v>1</v>
      </c>
      <c r="B3">
        <v>0.52500000000000002</v>
      </c>
      <c r="C3">
        <v>0.313</v>
      </c>
      <c r="D3">
        <v>0.16200000000000001</v>
      </c>
    </row>
    <row r="4" spans="1:4" x14ac:dyDescent="0.25">
      <c r="A4" t="s">
        <v>2</v>
      </c>
      <c r="B4">
        <v>0.41899999999999998</v>
      </c>
      <c r="C4">
        <v>0.33200000000000002</v>
      </c>
      <c r="D4">
        <v>0.249</v>
      </c>
    </row>
    <row r="5" spans="1:4" x14ac:dyDescent="0.25">
      <c r="A5" t="s">
        <v>3</v>
      </c>
      <c r="B5">
        <v>0.40100000000000002</v>
      </c>
      <c r="C5">
        <v>0.34599999999999997</v>
      </c>
      <c r="D5">
        <v>0.253</v>
      </c>
    </row>
    <row r="6" spans="1:4" x14ac:dyDescent="0.25">
      <c r="A6" t="s">
        <v>24</v>
      </c>
      <c r="B6">
        <v>0.40100000000000002</v>
      </c>
      <c r="C6">
        <v>0.34599999999999997</v>
      </c>
      <c r="D6">
        <v>0.253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Calculation</vt:lpstr>
      <vt:lpstr>NewFactors</vt:lpstr>
      <vt:lpstr>AirOccSplit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Albab Noor</dc:creator>
  <cp:lastModifiedBy>Albab Noor</cp:lastModifiedBy>
  <dcterms:created xsi:type="dcterms:W3CDTF">2020-07-14T20:42:01Z</dcterms:created>
  <dcterms:modified xsi:type="dcterms:W3CDTF">2020-07-16T17:11:45Z</dcterms:modified>
</cp:coreProperties>
</file>